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il" sheetId="1" state="visible" r:id="rId1"/>
    <sheet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13">
    <font>
      <name val="Calibri"/>
      <family val="2"/>
      <color theme="1"/>
      <sz val="11"/>
      <scheme val="minor"/>
    </font>
    <font>
      <b val="1"/>
      <color rgb="000E1113"/>
      <sz val="20"/>
    </font>
    <font>
      <color rgb="006B7A78"/>
      <sz val="11"/>
    </font>
    <font>
      <b val="1"/>
      <color rgb="000E1113"/>
    </font>
    <font>
      <i val="1"/>
      <color rgb="006B7A78"/>
    </font>
    <font>
      <b val="1"/>
      <color rgb="00FFFFFF"/>
      <sz val="11"/>
    </font>
    <font>
      <b val="1"/>
    </font>
    <font>
      <color rgb="006B7A78"/>
      <sz val="10"/>
    </font>
    <font>
      <b val="1"/>
      <color rgb="000E1113"/>
      <sz val="14"/>
    </font>
    <font>
      <i val="1"/>
      <color rgb="006B7A78"/>
      <sz val="10"/>
    </font>
    <font>
      <b val="1"/>
      <color rgb="003FA69C"/>
      <sz val="12"/>
    </font>
    <font>
      <color rgb="000E1113"/>
      <sz val="11"/>
    </font>
    <font>
      <b val="1"/>
      <color rgb="00D08A3E"/>
      <sz val="12"/>
    </font>
  </fonts>
  <fills count="4">
    <fill>
      <patternFill/>
    </fill>
    <fill>
      <patternFill patternType="gray125"/>
    </fill>
    <fill>
      <patternFill patternType="solid">
        <fgColor rgb="00FFF6E6"/>
      </patternFill>
    </fill>
    <fill>
      <patternFill patternType="solid">
        <fgColor rgb="000E1113"/>
      </patternFill>
    </fill>
  </fills>
  <borders count="2">
    <border>
      <left/>
      <right/>
      <top/>
      <bottom/>
      <diagonal/>
    </border>
    <border>
      <left style="thin">
        <color rgb="00D6DEDC"/>
      </left>
      <right style="thin">
        <color rgb="00D6DEDC"/>
      </right>
      <top style="thin">
        <color rgb="00D6DEDC"/>
      </top>
      <bottom style="thin">
        <color rgb="00D6DE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0" fillId="2" borderId="1" pivotButton="0" quotePrefix="0" xfId="0"/>
    <xf numFmtId="0" fontId="0" fillId="0" borderId="1" applyAlignment="1" pivotButton="0" quotePrefix="0" xfId="0">
      <alignment horizontal="center"/>
    </xf>
    <xf numFmtId="164" fontId="0" fillId="2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vertical="center" wrapText="1"/>
    </xf>
    <xf numFmtId="164" fontId="0" fillId="0" borderId="1" pivotButton="0" quotePrefix="0" xfId="0"/>
    <xf numFmtId="10" fontId="0" fillId="0" borderId="1" pivotButton="0" quotePrefix="0" xfId="0"/>
    <xf numFmtId="0" fontId="8" fillId="0" borderId="0" pivotButton="0" quotePrefix="0" xfId="0"/>
    <xf numFmtId="165" fontId="0" fillId="2" borderId="1" pivotButton="0" quotePrefix="0" xfId="0"/>
    <xf numFmtId="165" fontId="0" fillId="0" borderId="1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dxfs count="3">
    <dxf>
      <font>
        <b val="1"/>
        <color rgb="001F6E66"/>
      </font>
      <fill>
        <patternFill patternType="solid">
          <fgColor rgb="00D8F0EC"/>
        </patternFill>
      </fill>
    </dxf>
    <dxf>
      <font>
        <b val="1"/>
        <color rgb="009A6320"/>
      </font>
      <fill>
        <patternFill patternType="solid">
          <fgColor rgb="00FBEBD3"/>
        </patternFill>
      </fill>
    </dxf>
    <dxf>
      <font>
        <b val="1"/>
        <color rgb="00A33C39"/>
      </font>
      <fill>
        <patternFill patternType="solid">
          <fgColor rgb="00F7DA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15" customWidth="1" min="3" max="3"/>
    <col width="18" customWidth="1" min="4" max="4"/>
    <col width="20" customWidth="1" min="5" max="5"/>
    <col width="14" customWidth="1" min="6" max="6"/>
    <col width="12" customWidth="1" min="7" max="7"/>
    <col width="54" customWidth="1" min="8" max="8"/>
  </cols>
  <sheetData>
    <row r="2">
      <c r="B2" s="1" t="inlineStr">
        <is>
          <t>Conversão por etapa</t>
        </is>
      </c>
    </row>
    <row r="3">
      <c r="B3" s="2" t="inlineStr">
        <is>
          <t>Preencha só a coluna Volume (fundo bege). O resto é fórmula.</t>
        </is>
      </c>
    </row>
    <row r="5">
      <c r="B5" s="3" t="inlineStr">
        <is>
          <t>Período analisado:</t>
        </is>
      </c>
      <c r="C5" s="4" t="inlineStr">
        <is>
          <t>ex.: 01/09 a 30/09</t>
        </is>
      </c>
    </row>
    <row r="7" ht="34" customHeight="1">
      <c r="B7" s="5" t="inlineStr">
        <is>
          <t>Etapa</t>
        </is>
      </c>
      <c r="C7" s="5" t="inlineStr">
        <is>
          <t>Volume</t>
        </is>
      </c>
      <c r="D7" s="5" t="inlineStr">
        <is>
          <t>Conversão da etapa</t>
        </is>
      </c>
      <c r="E7" s="5" t="inlineStr">
        <is>
          <t>Conversão acumulada</t>
        </is>
      </c>
      <c r="F7" s="5" t="inlineStr">
        <is>
          <t>Meta da etapa</t>
        </is>
      </c>
      <c r="G7" s="5" t="inlineStr">
        <is>
          <t>Status</t>
        </is>
      </c>
      <c r="H7" s="5" t="inlineStr">
        <is>
          <t>O que costuma estar por trás da queda</t>
        </is>
      </c>
    </row>
    <row r="8" ht="30" customHeight="1">
      <c r="B8" s="6" t="inlineStr">
        <is>
          <t>Impressões</t>
        </is>
      </c>
      <c r="C8" s="7" t="n">
        <v>120000</v>
      </c>
      <c r="D8" s="8" t="inlineStr">
        <is>
          <t>—</t>
        </is>
      </c>
      <c r="E8" s="8" t="inlineStr">
        <is>
          <t>100,0%</t>
        </is>
      </c>
      <c r="F8" s="9" t="n"/>
      <c r="G8" s="10" t="inlineStr">
        <is>
          <t>—</t>
        </is>
      </c>
      <c r="H8" s="11" t="inlineStr">
        <is>
          <t>Alcance e orçamento. Se cai aqui, é verba, leilão ou fadiga de público.</t>
        </is>
      </c>
    </row>
    <row r="9" ht="30" customHeight="1">
      <c r="B9" s="6" t="inlineStr">
        <is>
          <t>Cliques</t>
        </is>
      </c>
      <c r="C9" s="7" t="n">
        <v>2400</v>
      </c>
      <c r="D9" s="12">
        <f>IF(C8=0,"",C9/C8)</f>
        <v/>
      </c>
      <c r="E9" s="13">
        <f>IF($C$8=0,"",C9/$C$8)</f>
        <v/>
      </c>
      <c r="F9" s="9" t="n">
        <v>0.02</v>
      </c>
      <c r="G9" s="10">
        <f>IF(OR(F9="",D9=""),"",IF(D9&gt;=F9,"OK",IF(D9&gt;=F9*0.8,"Atenção","Gargalo")))</f>
        <v/>
      </c>
      <c r="H9" s="11" t="inlineStr">
        <is>
          <t>Criativo e copy do anúncio. Frequência acima de 3–4 já corrói o CTR.</t>
        </is>
      </c>
    </row>
    <row r="10" ht="30" customHeight="1">
      <c r="B10" s="6" t="inlineStr">
        <is>
          <t>Sessões na página</t>
        </is>
      </c>
      <c r="C10" s="7" t="n">
        <v>2160</v>
      </c>
      <c r="D10" s="12">
        <f>IF(C9=0,"",C10/C9)</f>
        <v/>
      </c>
      <c r="E10" s="13">
        <f>IF($C$8=0,"",C10/$C$8)</f>
        <v/>
      </c>
      <c r="F10" s="9" t="n">
        <v>0.9</v>
      </c>
      <c r="G10" s="10">
        <f>IF(OR(F10="",D10=""),"",IF(D10&gt;=F10,"OK",IF(D10&gt;=F10*0.8,"Atenção","Gargalo")))</f>
        <v/>
      </c>
      <c r="H10" s="11" t="inlineStr">
        <is>
          <t>Velocidade e destino do link. Perda entre clique e sessão é técnica, não criativa.</t>
        </is>
      </c>
    </row>
    <row r="11" ht="30" customHeight="1">
      <c r="B11" s="6" t="inlineStr">
        <is>
          <t>Leads</t>
        </is>
      </c>
      <c r="C11" s="7" t="n">
        <v>324</v>
      </c>
      <c r="D11" s="12">
        <f>IF(C10=0,"",C11/C10)</f>
        <v/>
      </c>
      <c r="E11" s="13">
        <f>IF($C$8=0,"",C11/$C$8)</f>
        <v/>
      </c>
      <c r="F11" s="9" t="n">
        <v>0.15</v>
      </c>
      <c r="G11" s="10">
        <f>IF(OR(F11="",D11=""),"",IF(D11&gt;=F11,"OK",IF(D11&gt;=F11*0.8,"Atenção","Gargalo")))</f>
        <v/>
      </c>
      <c r="H11" s="11" t="inlineStr">
        <is>
          <t>Promessa da página x promessa do anúncio, e tamanho do formulário.</t>
        </is>
      </c>
    </row>
    <row r="12" ht="30" customHeight="1">
      <c r="B12" s="6" t="inlineStr">
        <is>
          <t>Leads qualificados</t>
        </is>
      </c>
      <c r="C12" s="7" t="n">
        <v>162</v>
      </c>
      <c r="D12" s="12">
        <f>IF(C11=0,"",C12/C11)</f>
        <v/>
      </c>
      <c r="E12" s="13">
        <f>IF($C$8=0,"",C12/$C$8)</f>
        <v/>
      </c>
      <c r="F12" s="9" t="n">
        <v>0.5</v>
      </c>
      <c r="G12" s="10">
        <f>IF(OR(F12="",D12=""),"",IF(D12&gt;=F12,"OK",IF(D12&gt;=F12*0.8,"Atenção","Gargalo")))</f>
        <v/>
      </c>
      <c r="H12" s="11" t="inlineStr">
        <is>
          <t>Segmentação e qualidade da oferta. Muito lead ruim é problema de mídia, não de vendas.</t>
        </is>
      </c>
    </row>
    <row r="13" ht="30" customHeight="1">
      <c r="B13" s="6" t="inlineStr">
        <is>
          <t>Agendamentos</t>
        </is>
      </c>
      <c r="C13" s="7" t="n">
        <v>113</v>
      </c>
      <c r="D13" s="12">
        <f>IF(C12=0,"",C13/C12)</f>
        <v/>
      </c>
      <c r="E13" s="13">
        <f>IF($C$8=0,"",C13/$C$8)</f>
        <v/>
      </c>
      <c r="F13" s="9" t="n">
        <v>0.7</v>
      </c>
      <c r="G13" s="10">
        <f>IF(OR(F13="",D13=""),"",IF(D13&gt;=F13,"OK",IF(D13&gt;=F13*0.8,"Atenção","Gargalo")))</f>
        <v/>
      </c>
      <c r="H13" s="11" t="inlineStr">
        <is>
          <t>Tempo até o primeiro contato. Lead que espera mais de 5 minutos esfria.</t>
        </is>
      </c>
    </row>
    <row r="14" ht="30" customHeight="1">
      <c r="B14" s="6" t="inlineStr">
        <is>
          <t>Comparecimentos</t>
        </is>
      </c>
      <c r="C14" s="7" t="n">
        <v>79</v>
      </c>
      <c r="D14" s="12">
        <f>IF(C13=0,"",C14/C13)</f>
        <v/>
      </c>
      <c r="E14" s="13">
        <f>IF($C$8=0,"",C14/$C$8)</f>
        <v/>
      </c>
      <c r="F14" s="9" t="n">
        <v>0.7</v>
      </c>
      <c r="G14" s="10">
        <f>IF(OR(F14="",D14=""),"",IF(D14&gt;=F14,"OK",IF(D14&gt;=F14*0.8,"Atenção","Gargalo")))</f>
        <v/>
      </c>
      <c r="H14" s="11" t="inlineStr">
        <is>
          <t>Lembretes e confirmação. Buraco silencioso e barato de resolver.</t>
        </is>
      </c>
    </row>
    <row r="15" ht="30" customHeight="1">
      <c r="B15" s="6" t="inlineStr">
        <is>
          <t>Propostas</t>
        </is>
      </c>
      <c r="C15" s="7" t="n">
        <v>55</v>
      </c>
      <c r="D15" s="12">
        <f>IF(C14=0,"",C15/C14)</f>
        <v/>
      </c>
      <c r="E15" s="13">
        <f>IF($C$8=0,"",C15/$C$8)</f>
        <v/>
      </c>
      <c r="F15" s="9" t="n">
        <v>0.7</v>
      </c>
      <c r="G15" s="10">
        <f>IF(OR(F15="",D15=""),"",IF(D15&gt;=F15,"OK",IF(D15&gt;=F15*0.8,"Atenção","Gargalo")))</f>
        <v/>
      </c>
      <c r="H15" s="11" t="inlineStr">
        <is>
          <t>Qualificação na call. Proposta pra quem não tem fit infla o topo e derruba o fim.</t>
        </is>
      </c>
    </row>
    <row r="16" ht="30" customHeight="1">
      <c r="B16" s="6" t="inlineStr">
        <is>
          <t>Fechamentos</t>
        </is>
      </c>
      <c r="C16" s="7" t="n">
        <v>14</v>
      </c>
      <c r="D16" s="12">
        <f>IF(C15=0,"",C16/C15)</f>
        <v/>
      </c>
      <c r="E16" s="13">
        <f>IF($C$8=0,"",C16/$C$8)</f>
        <v/>
      </c>
      <c r="F16" s="9" t="n">
        <v>0.25</v>
      </c>
      <c r="G16" s="10">
        <f>IF(OR(F16="",D16=""),"",IF(D16&gt;=F16,"OK",IF(D16&gt;=F16*0.8,"Atenção","Gargalo")))</f>
        <v/>
      </c>
      <c r="H16" s="11" t="inlineStr">
        <is>
          <t>Preço, timing e follow-up. Se todas as etapas acima estão sadias, o gargalo é aqui.</t>
        </is>
      </c>
    </row>
    <row r="18">
      <c r="B18" s="14" t="inlineStr">
        <is>
          <t>Custo</t>
        </is>
      </c>
    </row>
    <row r="19">
      <c r="B19" s="6" t="inlineStr">
        <is>
          <t>Investimento em mídia</t>
        </is>
      </c>
      <c r="C19" s="15" t="n">
        <v>18000</v>
      </c>
    </row>
    <row r="20">
      <c r="B20" s="6" t="inlineStr">
        <is>
          <t>Custo por lead</t>
        </is>
      </c>
      <c r="C20" s="16">
        <f>IF(C11=0,"",$C$19/C11)</f>
        <v/>
      </c>
    </row>
    <row r="21">
      <c r="B21" s="6" t="inlineStr">
        <is>
          <t>Custo por lead qualificado</t>
        </is>
      </c>
      <c r="C21" s="16">
        <f>IF(C12=0,"",$C$19/C12)</f>
        <v/>
      </c>
    </row>
    <row r="22">
      <c r="B22" s="6" t="inlineStr">
        <is>
          <t>CAC (custo por cliente)</t>
        </is>
      </c>
      <c r="C22" s="16">
        <f>IF(C16=0,"",$C$19/C16)</f>
        <v/>
      </c>
    </row>
    <row r="24" ht="32" customHeight="1">
      <c r="B24" s="17" t="inlineStr">
        <is>
          <t>Os números acima são exemplo — troque pelos seus. A regra do post: nunca reportar conversão sem separar por etapa. Um número único esconde qual etapa está sangrando.</t>
        </is>
      </c>
    </row>
  </sheetData>
  <mergeCells count="1">
    <mergeCell ref="B24:H24"/>
  </mergeCells>
  <conditionalFormatting sqref="H8:H16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"Gargalo"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Como usar</t>
        </is>
      </c>
    </row>
    <row r="4">
      <c r="B4" s="18" t="inlineStr">
        <is>
          <t>1. Preencha só o Volume</t>
        </is>
      </c>
    </row>
    <row r="5" ht="48" customHeight="1">
      <c r="B5" s="19" t="inlineStr">
        <is>
          <t>Coluna de fundo bege, na aba Funil. Um número por etapa, sempre do mesmo período. Se você ainda não mede alguma etapa, deixe em branco — a planilha não quebra, e a lacuna já é um diagnóstico.</t>
        </is>
      </c>
    </row>
    <row r="7">
      <c r="B7" s="18" t="inlineStr">
        <is>
          <t>2. Defina a Meta de cada etapa</t>
        </is>
      </c>
    </row>
    <row r="8" ht="48" customHeight="1">
      <c r="B8" s="19" t="inlineStr">
        <is>
          <t>Não use benchmark de internet. Use a média dos seus últimos 3 meses como linha de base e suba a partir dela. Meta boa é a que você já bateu alguma vez.</t>
        </is>
      </c>
    </row>
    <row r="10">
      <c r="B10" s="18" t="inlineStr">
        <is>
          <t>3. Leia o Status, não a conversão final</t>
        </is>
      </c>
    </row>
    <row r="11" ht="48" customHeight="1">
      <c r="B11" s="19" t="inlineStr">
        <is>
          <t>OK = bateu a meta. Atenção = até 20% abaixo. Gargalo = mais de 20% abaixo. A primeira etapa em Gargalo, de cima pra baixo, é onde você mexe primeiro.</t>
        </is>
      </c>
    </row>
    <row r="13">
      <c r="B13" s="18" t="inlineStr">
        <is>
          <t>4. Só depois olhe custo</t>
        </is>
      </c>
    </row>
    <row r="14" ht="48" customHeight="1">
      <c r="B14" s="19" t="inlineStr">
        <is>
          <t>CPL barato com CAC caro significa que você está comprando lead ruim. É problema de mídia, não do time comercial — e o bloco de custo mostra isso na cara.</t>
        </is>
      </c>
    </row>
    <row r="16">
      <c r="B16" s="20" t="inlineStr">
        <is>
          <t>O erro que essa planilha existe pra evitar</t>
        </is>
      </c>
    </row>
    <row r="17" ht="64" customHeight="1">
      <c r="B17" s="21" t="inlineStr">
        <is>
          <t>Tratar conversão como vendas dividido por visitas. Cada etapa cai por um motivo diferente: anúncio fraco derruba CTR, página lenta derruba taxa de lead, atendimento lento derruba agendamento, proposta mal feita derruba fechamento. Otimizar o funil como número único faz você cortar verba de mídia quando o problema está no comercial.</t>
        </is>
      </c>
    </row>
    <row r="20">
      <c r="B20" s="22" t="inlineStr">
        <is>
          <t>Feito por Marcos Bertoni · @ovinibertoni · linkedin.com/in/marcos-bertoni-80b391236</t>
        </is>
      </c>
    </row>
  </sheetData>
  <mergeCells count="5">
    <mergeCell ref="B11:F11"/>
    <mergeCell ref="B5:F5"/>
    <mergeCell ref="B14:F14"/>
    <mergeCell ref="B8:F8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2026-08-26T17:36:08Z</dcterms:created>
  <dcterms:modified xsi:type="dcterms:W3CDTF">2026-08-26T17:36:08Z</dcterms:modified>
</cp:coreProperties>
</file>